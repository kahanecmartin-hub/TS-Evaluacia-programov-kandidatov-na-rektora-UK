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rtinkahanec/Documents/MARTIN/UK HODNOTENIE TEZ/"/>
    </mc:Choice>
  </mc:AlternateContent>
  <xr:revisionPtr revIDLastSave="0" documentId="13_ncr:1_{5E78ED51-4A29-7841-A77A-124689EF41AF}" xr6:coauthVersionLast="47" xr6:coauthVersionMax="47" xr10:uidLastSave="{00000000-0000-0000-0000-000000000000}"/>
  <bookViews>
    <workbookView xWindow="2140" yWindow="2240" windowWidth="34560" windowHeight="19940" xr2:uid="{00000000-000D-0000-FFFF-FFFF00000000}"/>
  </bookViews>
  <sheets>
    <sheet name="Hodnotenie Tancer"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9" i="1" l="1"/>
  <c r="B29" i="1"/>
  <c r="D28" i="1"/>
  <c r="D21" i="1"/>
  <c r="D12" i="1"/>
</calcChain>
</file>

<file path=xl/sharedStrings.xml><?xml version="1.0" encoding="utf-8"?>
<sst xmlns="http://schemas.openxmlformats.org/spreadsheetml/2006/main" count="65" uniqueCount="63">
  <si>
    <t>Kritérium</t>
  </si>
  <si>
    <t>Čo sa hodnotí</t>
  </si>
  <si>
    <t>I. Líderská vízia (max. 35 bodov)</t>
  </si>
  <si>
    <t>I.1 Diagnóza výziev a práca s dátami</t>
  </si>
  <si>
    <t>Pomenúva kandidát skutočné problémy UK konkrétne a overiteľne (demografia, financovanie, medzinárodná úspešnosť, odliv talentov)? Priznáva aj nepriaznivé trendy doložené vo výročných správach, alebo ich obchádza?</t>
  </si>
  <si>
    <t>Program stavia svoje hlavné kapitoly na pomerne konkrétnej diagnóze problémov UK a identifikuje a rozpracováva široký súbor relevantných výziev: demografický tlak a odliv talentov, administratívnu záťaž, slabšiu internacionalizáciu výskumu, personálnu kontinuitu, zastaranosť AIS, nedostatok dátovej analytiky či otázky vnútorného financovania. Viaceré tvrdenia podopiera konkrétnymi údajmi, napríklad podielom študentov pripravujúcich sa na učiteľské povolanie. Nie všetky problémy sú rovnako dôsledne doplnené východiskovými hodnotami, príčinami a benchmarkmi, program však svoju stratégiu vo významnej miere opiera o konkrétne a overiteľné pomenovanie problémov UK.</t>
  </si>
  <si>
    <t>I.2 Vízia budúcnosti a strategická identita UK</t>
  </si>
  <si>
    <t>Zrozumiteľná odpoveď na otázku, čím má byť UK o 4 a o 10 rokov a v čom sa má odlíšiť od porovnateľných univerzít regiónu (Brno, Viedeň, Praha, Budapešť). Vízia musí byť viac než súhrn opatrení.</t>
  </si>
  <si>
    <t>Program formuluje rozpoznateľnú strategickú identitu UK založenú na talente, otvorenosti a modernizácii riadenia, ktorú konkretizuje predstavou UK ako akademickej križovatky strednej Európy. Táto vízia je previazaná s konkrétnym regionálnym ukotvením, najmä s Brnom a Viedňou, širším stredoeurópskym priestorom a návrhmi nových foriem spolupráce. Program vykazuje identifikovateľnú víziu a primerane ambiciózne ciele. Menej detailne je opísaná výsledná podoba univerzity najmä v horizonte desiatich rokov a jej konkurenčné výhody nie sú všade pretavené do merateľných benchmarkov. Z programu je však zrozumiteľné, akým smerom chce kandidát UK profilovať a na akých prioritách túto predstavu stavia.</t>
  </si>
  <si>
    <t>I.3 AI, digitalizácia a Univerzita 4.0</t>
  </si>
  <si>
    <t>Program prepája digitalizáciu, dátové riadenie a AI do pomerne ucelenej koncepcie. Navrhuje generačnú obnovu AIS, integráciu systémov, digitálnu prístupnosť a vytvorenie pozície hlavného dátového analytika. Zároveň explicitne odmieta vznik technologickej závislosti, zdôrazňuje rozvoj vlastných kompetencií a reflektuje akademickú etiku, čím pokrýva podstatné časti kritéria. Implementácia je však iba načrtnutá: chýbajú presnejšie zdroje, fázy realizácie a rozdelenie rozhodovacej, výkonnej a kontrolnej zodpovednosti; otvorené zostávajú aj náklady nového AIS.</t>
  </si>
  <si>
    <t>I.4 Transformácia vzdelávania, výskumu</t>
  </si>
  <si>
    <t>Konkrétne zmeny v jadre činnosti: kvalita výučby a jej hodnotenie, doktorandské štúdium, prepojenie s praxou, celoživotné vzdelávanie. Nie výpočet existujúcich aktivít.</t>
  </si>
  <si>
    <t>Program navrhuje systémové zásahy do viacerých oblastí jadra univerzity: meranie kvality výučby, zohľadnenie pedagogických inovácií v kariérnom postupe, Centrum vysokoškolskej pedagogiky, rozvoj doktorandských škôl a postdoktorandských pozícií, interdisciplinaritu, internacionalizáciu a osobitný dôraz na prípravu učiteľov. Tým vytvára pomerne ucelenú predstavu zmien vo vzdelávaní aj výskume. Menej rozpracované zostáva fungovanie doktorandských škôl, ich personálne a finančné zabezpečenie a mechanizmus, ktorým majú viesť ku koncentrácii vedeckej kvality a interdisciplinarite. Podobne nie je celkom jasné, ako majú kariérne nástroje podporiť získavanie dostatočne konkurencieschopných kandidátov na špičkové granty.</t>
  </si>
  <si>
    <t>I.5 Verejná a demokratická úloha univerzity</t>
  </si>
  <si>
    <t>Akademické slobody, odolnosť voči politickým tlakom a dezinformáciám, úloha UK vo verejnej diskusii</t>
  </si>
  <si>
    <t>Program jasne zakotvuje verejnú úlohu univerzity v slobode myslenia, akademickej integrite, vedeckom poznaní a nadstraníckej komunikácii. Konkrétnejšími prvkami sú ochrana oznamovateľov, dôraz na právny štát a demokratickú odolnosť a chápanie verejného pôsobenia univerzity ako prirodzenej súčasti vedeckej činnosti. Menej rozpracované zostávajú praktické mechanizmy ochrany autonómie pri vonkajších politických tlakoch a konkrétne opatrenia proti dezinformáciám, vrátane vedeckej komunikácie či mediálnej a informačnej gramotnosti. Hodnotový rámec je teda jasný a relevantný, jeho praktická operacionalizácia je však len čiastočne rozvinutá.</t>
  </si>
  <si>
    <t>I.6 Medzinárodné postavenie a odolnosť</t>
  </si>
  <si>
    <t>Realistická stratégia zlepšenia postavenia UK v stredoeurópskom porovnaní, ukotvená v konkrétnych európskych nástrojoch (Horizont/FP10, ERC, aliancie, mobilita)</t>
  </si>
  <si>
    <t>Program ponúka pomerne ucelený súbor konkrétnych nástrojov na posilnenie medzinárodnej konkurencieschopnosti UK: ERC Akcelerátor, prípravu konzorcií pre FP10, zapojenie do schém Teaming, Twinning a ERA Chairs, využitie ENLIGHT a rozvoj strategických regionálnych partnerstiev. Oceňovaná je aj väzba medzi nástrojmi a konkrétnymi oblasťami spolupráce. Úspech pritom závisí od externých partnerov a konkurenčných výziev, nie všetky partnerstvá sú formalizované a pevný počet podporovaných ERC kandidátov nemusí byť každoročne realistický; program však jasne pomenúva nástroje, ktorými chce medzinárodné postavenie UK posilniť.</t>
  </si>
  <si>
    <t>Spolu za blok</t>
  </si>
  <si>
    <t>II. Manažérska kvalita (max. 40 bodov)</t>
  </si>
  <si>
    <t>II.1 Priority, strategické voľby a harmonogram</t>
  </si>
  <si>
    <t>Vie kandidát povedať, čo urobí prvé, čo odloží a čoho sa vzdá?</t>
  </si>
  <si>
    <t>Program má tri jasne formulované obsahové priority a rozlišuje medzi opatreniami, ktoré možno spustiť bezprostredne, a zmenami vyžadujúcimi dlhší horizont. Niektoré zámery majú konkrétne časové kotvy, napríklad prípravu na FP10 v roku 2028 či pravidelný cyklus podpory uchádzačov o ERC granty. Hodnotitelia však poukazujú na chýbajúci detailnejší plán prvého roku, presnejšie poradie organizačne a finančne náročných projektov a identifikáciu aktivít, ktoré budú odložené, obmedzené alebo ukončené.</t>
  </si>
  <si>
    <t>II.2 Riadenie zmeny a vzťah rektorátu a fakúlt</t>
  </si>
  <si>
    <t>Mechanizmy ako sa budú prijímať celouniverzitné rozhodnutia, ako sa rieši napätie centralizácia verzus autonómia, aké nové inštitúcie zodpovednosti vzniknú (obojsmerne, aj rektorát voči fakultám).</t>
  </si>
  <si>
    <t>Program navrhuje viacero konkrétnych mechanizmov obojsmernej zodpovednosti: osobitnú výročnú správu rektorátu voči akademickej obci, konzultačný zbor pri výbere vedenia, manažérske vzdelávanie prorektorov a intenzívnejšiu komunikáciu s fakultami a orgánmi univerzity. Zároveň formuluje princíp zachovania autonómie tam, kde prináša flexibilitu, a centralizácie služieb tam, kde zvyšuje kvalitu či bezpečnosť. Hodnotitelia oceňujú túto architektúru zodpovednosti, hoci menej jasné zostávajú postupy pri sporoch medzi centrom a fakultami a riešení situácií bez konsenzu. Program zároveň len obmedzene vysvetľuje príčiny súčasnej nedôvery a nedostatočnej vnútornej komunikácie. Keďže kandidát je členom súčasného vedenia UK, očakáva sa hlbšia analýza príčin a možností riešenia identifikovaného problému.</t>
  </si>
  <si>
    <t>II.3 Finančná a personálna udržateľnosť</t>
  </si>
  <si>
    <t>Program explicitne otvára vnútorné prerozdeľovanie zdrojov a navrhuje rozdeliť výkonnostné zmluvy na stabilizačnú a rozvojovú zložku, doplnenú cieleným podfondom viazaným na strategické priority a merateľné záväzky fakúlt. Hodnotitelia oceňujú aj kariérne nástroje pre pedagógov, mladých vedcov a projektových manažérov. Menej rozpracované zostávajú presné pomery medzi zložkami financovania, ich rozpočtové dôsledky, ochrana finančne zraniteľných odborov a ucelená mzdová politika. Navrhované mechanizmy vnútorného financovania sú pomerne konkrétne; menej jasné zostávajú ich rozpočtové dôsledky a prepojenie s ucelenou personálnou a mzdovou politikou.</t>
  </si>
  <si>
    <t>II.4 Externé zdroje a vzťahy s prostredím</t>
  </si>
  <si>
    <t>Stratégia diverzifikácie príjmov - európske schémy, štrukturálne fondy, spin-offy, filantropia, absolventi; a vzťahy so štátom, mestom, samosprávou a zamestnávateľmi. Pri podfinancovanej univerzite je to kľúčová rektorská kompetencia.</t>
  </si>
  <si>
    <t>Program ponúka široko diverzifikovaný súbor nástrojov externého financovania a partnerstiev: európske grantové schémy vrátane EIC a Interreg, spin-offy, licencovanie výsledkov výskumu, mikroosvedčenia a partnerstvá so samosprávami a súkromným sektorom. Tým vytvára konkrétny základ pre získavanie zdrojov mimo štátnej dotácie. Menej rozpracované je však ich pretavenie do finančného modelu: chýbajú očakávané výnosy, náklady na získavanie zdrojov, časový horizont a konkrétnejšie záväzky v jednotlivých oblastiach. Jednotlivé cesty financovania zároveň nie sú úplne previazané do kvantifikovanej stratégie.</t>
  </si>
  <si>
    <t>II.5 Organizačná a administratívna kapacita</t>
  </si>
  <si>
    <t>Reálnosť nárokov programu na aparát: kto opatrenia vykoná, aké pozície a útvary treba vytvoriť či posilniť, znižovanie byrokracie ako proces, nie heslo.</t>
  </si>
  <si>
    <t>Program pomerne konkrétne identifikuje kapacity potrebné na realizáciu zmien: posilnené projektové centrum, profesionalizáciu RMA, dátových manažérov a hlavného dátového analytika, pedagogické centrum aj využívanie paušálneho financovania na zníženie administratívnej záťaže. Pozitívne je, že pri nových dátových kapacitách navrhuje najprv preveriť existujúce zdroje a pri procesoch odstrániť duplicity. Menej jasné zostáva, koľko nových miest a útvarov bude skutočne potrebných a ako bude zvládaná kumulatívna náročnosť ich paralelného zavádzania, aké budú ich náklady a personálne zabezpečenie a v akom poradí vzniknú.</t>
  </si>
  <si>
    <t>II.6 Implementácia, merateľnosť, zodpovednosť a riziká</t>
  </si>
  <si>
    <t>Merateľné ukazovatele a míľniky, mechanizmus odpočtu voči akademickej obci, a identifikácia najrizikovejších opatrení programu vrátane plánu B.</t>
  </si>
  <si>
    <t>Program obsahuje viacero kontrolovateľných prvkov, napríklad cieľ vytvoriť najmenej desať double-degree programov, pravidelnú podporu uchádzačov o ERC, míľnikové financovanie a každoročný odpočet činnosti rektorátu. Tieto opatrenia umožňujú sledovať časť navrhovaných zmien. Hodnotitelia však upozorňujú, že nejde o ucelený implementačný systém: pri väčšine opatrení chýbajú východiskové hodnoty, termíny, jednoznační nositelia zodpovednosti, systematický harmonogram, register rizík a plány B, vrátane scenárov výpadku financovania.</t>
  </si>
  <si>
    <t>III. Celková kvalita a dôveryhodnosť (max. 25 bodov)</t>
  </si>
  <si>
    <t>III.1 Transformačný potenciál</t>
  </si>
  <si>
    <t>Program obsahuje viacero prvkov, ktoré menia pravidlá a vnútorné mechanizmy fungovania univerzity: prospektívnu zložku výkonnostného financovania viazanú na záväzky fakúlt, hlavného dátového analytika, profesionalizáciu research managementu, kariérnu dráhu pre pedagógov či nové mechanizmy zodpovednosti rektorátu. Hodnotitelia v nich vidia reálny transformačný potenciál a nové prístupy k riadeniu. Časť opatrení však nadväzuje na už začaté reformy, napríklad doktorandské školy, a rozsah paralelných zmien vyvoláva otázky personálnych, finančných a časových kapacít.</t>
  </si>
  <si>
    <t>III.2 Vnútorná súdržnosť a operacionalizácia dlhodobého zámeru UK</t>
  </si>
  <si>
    <t>Neprotirečia si časti programu navzájom? Vie kandidát nekvantifikované ukazovatele dlhodobého zámeru 2024 až 2029 pretaviť do číselných cieľov? Odklon od zámeru nie je chyba, ale musí byť zdôvodnený.</t>
  </si>
  <si>
    <t>Program má prehľadnú a relatívne súdržnú architektúru, v ktorej sa podpora talentu, kvalita výučby, internacionalizácia, modernizácia riadenia a rozvojové financovanie navzájom prepájajú. Časť všeobecných cieľov dlhodobého zámeru operacionalizuje konkrétnymi záväzkami, napríklad počtom nových double-degree programov, podporou uchádzačov o ERC či výkonovými záväzkami viazanými na financovanie. Hodnotitelia však upozorňujú, že väčšina ostatných opatrení zostáva bez cieľových hodnôt a merateľných indikátorov a niektoré kvantifikácie môžu byť príliš rigidné.</t>
  </si>
  <si>
    <t>III.3 Realistickosť a preukázané výsledky</t>
  </si>
  <si>
    <t>Pri úradujúcom kandidátovi: porovnanie programu z predchádzajúcej voľby s doručenými výsledkami podľa výročných správ (čo sľúbil a splnil, čo sľúbil a nesplnil, ako komunikuje nepriaznivé trendy). Pri vyzývateľovi: overiteľné výsledky z doterajšej riadiacej agendy a realistickosť najdrahších sľubov programu. Hodnotiteľ uvedie, o ktoré fakty opiera skóre.</t>
  </si>
  <si>
    <t>Kandidát má doložené riadiace skúsenosti z vedenia UK a z agendy internacionalizácie, vrátane koordinačnej úlohy v aliancii ENLIGHT, pričom hodnotitelia oceňujú aj konkrétne návrhy na zvýšenie úspešnosti v európskych programoch, napríklad profesionálnejšiu podporu grantov a ERC. Pri hodnotení výsledkov však zostáva potrebné odlíšiť jeho individuálny prínos od kolektívnych výsledkov širšieho vedenia a aliancie. Otázniky vyvoláva aj finančná realistickosť nákladnejších zámerov, najmä nového AIS, nových centier a infraštruktúrnych investícií.</t>
  </si>
  <si>
    <t>III.4 Schopnosť mobilizovať univerzitnú komunitu</t>
  </si>
  <si>
    <t>Dokáže kandidát získať fakulty, senát, správnu radu a študentov pre zmeny, ktoré navrhuje?</t>
  </si>
  <si>
    <t>Program ponúka pomerne konkrétny participatívny rámec: zapojenie Akademického senátu a Správnej rady UK, konzultačný zbor, pravidelné stretnutia s fakultami a študentmi, town hall stretnutia a prieskumy potrieb akademickej obce. Verejná kampaň a dôraz na súťaž myšlienok zároveň ukazujú snahu získavať podporu otvorenou diskusiou. Samotná participácia však nezaručuje podporu pre najspornejšie zmeny; menej rozpracovaná zostáva stratégia budovania koalície pri novom prerozdeľovaní finančných zdrojov, centralizácii niektorých služieb a pri hľadaní konsenzu s pracoviskami, ktorých sa navrhované zmeny môžu výraznejšie dotknúť.</t>
  </si>
  <si>
    <t>CELKOVÉ SKÓRE</t>
  </si>
  <si>
    <t>CELKOVÉ SLOVNÉ HODNOTENIE</t>
  </si>
  <si>
    <t>Slovné hodnotenie</t>
  </si>
  <si>
    <t>Maximálny možný počet bodov</t>
  </si>
  <si>
    <t>Poznámka: Každé kritérium hodnotili experti na kvalitatívnej škále: „neriešené“, „rétorické“, „nedostatočne rozpracované“, „dôveryhodné a konkrétne“, „silné a uskutočniteľné“ a „výnimočné a transformačné“.</t>
  </si>
  <si>
    <t>Skóre „silné a uskutočniteľné“ a viac vyžaduje súčasne: implementačný plán so zdrojmi, governance a etický rámec, a reflexiu rizík pre študentov a zamestnancov vrátane rizika závislosti a straty kompetencií. Samotný adopčný entuziazmus a AI slovník bez týchto troch zložiek je maximálne úroveň „nedostatočne rozpracované“.</t>
  </si>
  <si>
    <t>Metodika delenia dotácie a výkonnostných zmlúv, mzdová politika, udržanie a získavanie ľudí. Kandidát, ktorý neotvorí otázku vnútorného prerozdeľovania zdrojov, nemôže získať hodnotenie vyššie ako „dôveryhodné a konkrétne“.</t>
  </si>
  <si>
    <t>Posúva program univerzitu, alebo udržiava existujúci stav? Program, ktorý je prevažne reformuláciou platného dlhodobého zámeru, je v tomto kritériu maximálne úroveň  „nedostatočne rozpracované“.</t>
  </si>
  <si>
    <t>Kritériá, maximálne body, metodika a konsolidované bodové a slovné hodnotenie panelu</t>
  </si>
  <si>
    <t>Program má jasnú reformnú logiku, ktorá prepája talent, kvalitu vzdelávania a výskumu, internacionalizáciu a modernizáciu riadenia. Hodnotitelia oceňujú konkrétnu diagnózu problémov a systémové návrhy: meranie kvality výučby, kariérnu dráhu excelentných pedagógov, Centrum vysokoškolskej pedagogiky, ERC Accelerator, profesionalizáciu manažmentu výskumu, nové pravidlá vnútorného financovania, dátové riadenie a stredoeurópske partnerstvá a ENLIGHT (európska univerzitná aliancia, ktorá prepája UK s deviatimi ďalšími výskumne orientovanými univerzitami v Európe). Program zároveň prepája poslanie UK s verejným záujmom cez prípravu učiteľov, celoživotné vzdelávanie, mikroosvedčenia, spoluprácu s praxou a snahu získavať a udržiavať domáci talent. Hlavné výhrady sa týkajú realizácie: reformný balík nie je úplne finančne a personálne vyčíslený, chýba ucelený harmonogram, plány B a pri niektorých opatreniach presnejší implementačný mechanizmus. V štvorročnom horizonte program načrtáva dátovo riadenú, profesionálnejšie spravovanú a medzinárodne prepojenejšiu UK s vyšším dôrazom na kvalitu a atraktivitu pre domáci talent; v desaťročnom horizonte bude naplnenie tejto trajektórie závisieť od stabilizácie a udržateľnosti navrhovaných systémových reforiem.</t>
  </si>
  <si>
    <t>Priemer za hodnotiteľov</t>
  </si>
  <si>
    <t>EXTERNÉ HODNOTENIE PROGRAMU — doc. Mgr. JOZEF TANCER, 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</si>
</sst>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sz val="10"/>
      <name val="Aptos"/>
    </font>
    <font>
      <b/>
      <sz val="16"/>
      <color rgb="FFFFFFFF"/>
      <name val="Aptos"/>
    </font>
    <font>
      <sz val="16"/>
      <color rgb="FF455B6C"/>
      <name val="Aptos"/>
    </font>
    <font>
      <sz val="16"/>
      <name val="Aptos"/>
    </font>
    <font>
      <b/>
      <sz val="16"/>
      <color rgb="FF153A5B"/>
      <name val="Aptos"/>
    </font>
    <font>
      <sz val="16"/>
      <color rgb="FF172D3C"/>
      <name val="Aptos"/>
    </font>
    <font>
      <i/>
      <sz val="16"/>
      <color rgb="FF526572"/>
      <name val="Aptos"/>
    </font>
  </fonts>
  <fills count="6">
    <fill>
      <patternFill patternType="none"/>
    </fill>
    <fill>
      <patternFill patternType="gray125"/>
    </fill>
    <fill>
      <patternFill patternType="solid">
        <fgColor rgb="FF153A5B"/>
      </patternFill>
    </fill>
    <fill>
      <patternFill patternType="solid">
        <fgColor rgb="FF1B6971"/>
      </patternFill>
    </fill>
    <fill>
      <patternFill patternType="solid">
        <fgColor rgb="FFEDF4F7"/>
      </patternFill>
    </fill>
    <fill>
      <patternFill patternType="solid">
        <fgColor rgb="FFF3F6F9"/>
      </patternFill>
    </fill>
  </fills>
  <borders count="1">
    <border>
      <left/>
      <right/>
      <top/>
      <bottom/>
      <diagonal/>
    </border>
  </borders>
  <cellStyleXfs count="1">
    <xf numFmtId="0" fontId="0" fillId="0" borderId="0"/>
  </cellStyleXfs>
  <cellXfs count="20">
    <xf numFmtId="0" fontId="0" fillId="0" borderId="0" xfId="0"/>
    <xf numFmtId="0" fontId="1" fillId="0" borderId="0" xfId="0" applyFont="1" applyAlignment="1">
      <alignment vertical="top" wrapText="1"/>
    </xf>
    <xf numFmtId="0" fontId="4" fillId="0" borderId="0" xfId="0" applyFont="1"/>
    <xf numFmtId="0" fontId="2" fillId="3" borderId="0" xfId="0" applyFont="1" applyFill="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5" fillId="4" borderId="0" xfId="0" applyFont="1" applyFill="1" applyAlignment="1">
      <alignment vertical="top" wrapText="1"/>
    </xf>
    <xf numFmtId="164" fontId="4" fillId="0" borderId="0" xfId="0" applyNumberFormat="1" applyFont="1" applyAlignment="1">
      <alignment horizontal="center" vertical="top" wrapText="1"/>
    </xf>
    <xf numFmtId="0" fontId="4" fillId="0" borderId="0" xfId="0" applyFont="1" applyAlignment="1">
      <alignment horizontal="center"/>
    </xf>
    <xf numFmtId="0" fontId="2" fillId="3" borderId="0" xfId="0" applyFont="1" applyFill="1" applyAlignment="1">
      <alignment horizontal="center" vertical="top" wrapText="1"/>
    </xf>
    <xf numFmtId="164" fontId="5" fillId="4" borderId="0" xfId="0" applyNumberFormat="1" applyFont="1" applyFill="1" applyAlignment="1">
      <alignment horizontal="center" vertical="top" wrapText="1"/>
    </xf>
    <xf numFmtId="164" fontId="2" fillId="3" borderId="0" xfId="0" applyNumberFormat="1" applyFont="1" applyFill="1" applyAlignment="1">
      <alignment horizontal="center" vertical="top" wrapText="1"/>
    </xf>
    <xf numFmtId="0" fontId="1" fillId="0" borderId="0" xfId="0" applyFont="1" applyAlignment="1">
      <alignment horizontal="center" vertical="top" wrapText="1"/>
    </xf>
    <xf numFmtId="0" fontId="0" fillId="0" borderId="0" xfId="0" applyAlignment="1">
      <alignment horizontal="center"/>
    </xf>
    <xf numFmtId="0" fontId="5" fillId="4" borderId="0" xfId="0" applyFont="1" applyFill="1" applyAlignment="1">
      <alignment horizontal="center" vertical="top" wrapText="1"/>
    </xf>
    <xf numFmtId="0" fontId="2" fillId="2" borderId="0" xfId="0" applyFont="1" applyFill="1" applyAlignment="1">
      <alignment vertical="top" wrapText="1"/>
    </xf>
    <xf numFmtId="0" fontId="6" fillId="5" borderId="0" xfId="0" applyFont="1" applyFill="1" applyAlignment="1">
      <alignment vertical="top" wrapText="1"/>
    </xf>
    <xf numFmtId="0" fontId="7" fillId="0" borderId="0" xfId="0" applyFont="1" applyAlignment="1">
      <alignment vertical="top" wrapText="1"/>
    </xf>
    <xf numFmtId="0" fontId="2"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abSelected="1" workbookViewId="0">
      <selection sqref="A1:E1"/>
    </sheetView>
  </sheetViews>
  <sheetFormatPr baseColWidth="10" defaultColWidth="8.83203125" defaultRowHeight="14"/>
  <cols>
    <col min="1" max="1" width="43" customWidth="1"/>
    <col min="2" max="2" width="15.5" style="13" customWidth="1"/>
    <col min="3" max="3" width="68" customWidth="1"/>
    <col min="4" max="4" width="15" style="13" customWidth="1"/>
    <col min="5" max="5" width="89" customWidth="1"/>
  </cols>
  <sheetData>
    <row r="1" spans="1:5" ht="50.75" customHeight="1">
      <c r="A1" s="18" t="s">
        <v>62</v>
      </c>
      <c r="B1" s="18"/>
      <c r="C1" s="18"/>
      <c r="D1" s="18"/>
      <c r="E1" s="18"/>
    </row>
    <row r="2" spans="1:5" ht="34.75" customHeight="1">
      <c r="A2" s="19" t="s">
        <v>59</v>
      </c>
      <c r="B2" s="19"/>
      <c r="C2" s="19"/>
      <c r="D2" s="19"/>
      <c r="E2" s="19"/>
    </row>
    <row r="3" spans="1:5" ht="22">
      <c r="A3" s="2"/>
      <c r="B3" s="8"/>
      <c r="C3" s="2"/>
      <c r="D3" s="8"/>
      <c r="E3" s="2"/>
    </row>
    <row r="4" spans="1:5" ht="92" customHeight="1">
      <c r="A4" s="3" t="s">
        <v>0</v>
      </c>
      <c r="B4" s="9" t="s">
        <v>54</v>
      </c>
      <c r="C4" s="3" t="s">
        <v>1</v>
      </c>
      <c r="D4" s="9" t="s">
        <v>61</v>
      </c>
      <c r="E4" s="3" t="s">
        <v>53</v>
      </c>
    </row>
    <row r="5" spans="1:5" ht="36" customHeight="1">
      <c r="A5" s="15" t="s">
        <v>2</v>
      </c>
      <c r="B5" s="15"/>
      <c r="C5" s="15"/>
      <c r="D5" s="15"/>
      <c r="E5" s="15"/>
    </row>
    <row r="6" spans="1:5" ht="227" customHeight="1">
      <c r="A6" s="4" t="s">
        <v>3</v>
      </c>
      <c r="B6" s="5">
        <v>6</v>
      </c>
      <c r="C6" s="4" t="s">
        <v>4</v>
      </c>
      <c r="D6" s="7">
        <v>4.5599999999999996</v>
      </c>
      <c r="E6" s="4" t="s">
        <v>5</v>
      </c>
    </row>
    <row r="7" spans="1:5" ht="234" customHeight="1">
      <c r="A7" s="4" t="s">
        <v>6</v>
      </c>
      <c r="B7" s="5">
        <v>7</v>
      </c>
      <c r="C7" s="4" t="s">
        <v>7</v>
      </c>
      <c r="D7" s="7">
        <v>5.6</v>
      </c>
      <c r="E7" s="4" t="s">
        <v>8</v>
      </c>
    </row>
    <row r="8" spans="1:5" ht="182.75" customHeight="1">
      <c r="A8" s="4" t="s">
        <v>9</v>
      </c>
      <c r="B8" s="5">
        <v>6</v>
      </c>
      <c r="C8" s="4" t="s">
        <v>56</v>
      </c>
      <c r="D8" s="7">
        <v>3.58</v>
      </c>
      <c r="E8" s="4" t="s">
        <v>10</v>
      </c>
    </row>
    <row r="9" spans="1:5" ht="246" customHeight="1">
      <c r="A9" s="4" t="s">
        <v>11</v>
      </c>
      <c r="B9" s="5">
        <v>6</v>
      </c>
      <c r="C9" s="4" t="s">
        <v>12</v>
      </c>
      <c r="D9" s="7">
        <v>4.5</v>
      </c>
      <c r="E9" s="4" t="s">
        <v>13</v>
      </c>
    </row>
    <row r="10" spans="1:5" ht="209" customHeight="1">
      <c r="A10" s="4" t="s">
        <v>14</v>
      </c>
      <c r="B10" s="5">
        <v>5</v>
      </c>
      <c r="C10" s="4" t="s">
        <v>15</v>
      </c>
      <c r="D10" s="7">
        <v>3.1</v>
      </c>
      <c r="E10" s="4" t="s">
        <v>16</v>
      </c>
    </row>
    <row r="11" spans="1:5" ht="217" customHeight="1">
      <c r="A11" s="4" t="s">
        <v>17</v>
      </c>
      <c r="B11" s="5">
        <v>5</v>
      </c>
      <c r="C11" s="4" t="s">
        <v>18</v>
      </c>
      <c r="D11" s="7">
        <v>3.6</v>
      </c>
      <c r="E11" s="4" t="s">
        <v>19</v>
      </c>
    </row>
    <row r="12" spans="1:5" ht="37.25" customHeight="1">
      <c r="A12" s="6" t="s">
        <v>20</v>
      </c>
      <c r="B12" s="14">
        <v>35</v>
      </c>
      <c r="C12" s="6"/>
      <c r="D12" s="10">
        <f>SUM(D6:D11)</f>
        <v>24.940000000000005</v>
      </c>
      <c r="E12" s="6"/>
    </row>
    <row r="13" spans="1:5" ht="22">
      <c r="A13" s="4"/>
      <c r="B13" s="5"/>
      <c r="C13" s="4"/>
      <c r="D13" s="5"/>
      <c r="E13" s="4"/>
    </row>
    <row r="14" spans="1:5" ht="36" customHeight="1">
      <c r="A14" s="15" t="s">
        <v>21</v>
      </c>
      <c r="B14" s="15"/>
      <c r="C14" s="15"/>
      <c r="D14" s="15"/>
      <c r="E14" s="15"/>
    </row>
    <row r="15" spans="1:5" ht="167" customHeight="1">
      <c r="A15" s="4" t="s">
        <v>22</v>
      </c>
      <c r="B15" s="5">
        <v>7</v>
      </c>
      <c r="C15" s="4" t="s">
        <v>23</v>
      </c>
      <c r="D15" s="7">
        <v>5.1999999999999993</v>
      </c>
      <c r="E15" s="4" t="s">
        <v>24</v>
      </c>
    </row>
    <row r="16" spans="1:5" ht="270" customHeight="1">
      <c r="A16" s="4" t="s">
        <v>25</v>
      </c>
      <c r="B16" s="5">
        <v>7</v>
      </c>
      <c r="C16" s="4" t="s">
        <v>26</v>
      </c>
      <c r="D16" s="7">
        <v>5.1000000000000005</v>
      </c>
      <c r="E16" s="4" t="s">
        <v>27</v>
      </c>
    </row>
    <row r="17" spans="1:5" ht="224" customHeight="1">
      <c r="A17" s="4" t="s">
        <v>28</v>
      </c>
      <c r="B17" s="5">
        <v>7</v>
      </c>
      <c r="C17" s="4" t="s">
        <v>57</v>
      </c>
      <c r="D17" s="7">
        <v>5.1999999999999993</v>
      </c>
      <c r="E17" s="4" t="s">
        <v>29</v>
      </c>
    </row>
    <row r="18" spans="1:5" ht="210" customHeight="1">
      <c r="A18" s="4" t="s">
        <v>30</v>
      </c>
      <c r="B18" s="5">
        <v>6</v>
      </c>
      <c r="C18" s="4" t="s">
        <v>31</v>
      </c>
      <c r="D18" s="7">
        <v>3.68</v>
      </c>
      <c r="E18" s="4" t="s">
        <v>32</v>
      </c>
    </row>
    <row r="19" spans="1:5" ht="203" customHeight="1">
      <c r="A19" s="4" t="s">
        <v>33</v>
      </c>
      <c r="B19" s="5">
        <v>5</v>
      </c>
      <c r="C19" s="4" t="s">
        <v>34</v>
      </c>
      <c r="D19" s="7">
        <v>3.2</v>
      </c>
      <c r="E19" s="4" t="s">
        <v>35</v>
      </c>
    </row>
    <row r="20" spans="1:5" ht="182.75" customHeight="1">
      <c r="A20" s="4" t="s">
        <v>36</v>
      </c>
      <c r="B20" s="5">
        <v>8</v>
      </c>
      <c r="C20" s="4" t="s">
        <v>37</v>
      </c>
      <c r="D20" s="7">
        <v>4.4000000000000004</v>
      </c>
      <c r="E20" s="4" t="s">
        <v>38</v>
      </c>
    </row>
    <row r="21" spans="1:5" ht="37.25" customHeight="1">
      <c r="A21" s="6" t="s">
        <v>20</v>
      </c>
      <c r="B21" s="14">
        <v>40</v>
      </c>
      <c r="C21" s="6"/>
      <c r="D21" s="10">
        <f>SUM(D15:D20)</f>
        <v>26.78</v>
      </c>
      <c r="E21" s="6"/>
    </row>
    <row r="22" spans="1:5" ht="22">
      <c r="A22" s="4"/>
      <c r="B22" s="5"/>
      <c r="C22" s="4"/>
      <c r="D22" s="5"/>
      <c r="E22" s="4"/>
    </row>
    <row r="23" spans="1:5" ht="36" customHeight="1">
      <c r="A23" s="15" t="s">
        <v>39</v>
      </c>
      <c r="B23" s="15"/>
      <c r="C23" s="15"/>
      <c r="D23" s="15"/>
      <c r="E23" s="15"/>
    </row>
    <row r="24" spans="1:5" ht="205" customHeight="1">
      <c r="A24" s="4" t="s">
        <v>40</v>
      </c>
      <c r="B24" s="5">
        <v>5</v>
      </c>
      <c r="C24" s="4" t="s">
        <v>58</v>
      </c>
      <c r="D24" s="7">
        <v>3.4</v>
      </c>
      <c r="E24" s="4" t="s">
        <v>41</v>
      </c>
    </row>
    <row r="25" spans="1:5" ht="182.75" customHeight="1">
      <c r="A25" s="4" t="s">
        <v>42</v>
      </c>
      <c r="B25" s="5">
        <v>4</v>
      </c>
      <c r="C25" s="4" t="s">
        <v>43</v>
      </c>
      <c r="D25" s="7">
        <v>2.44</v>
      </c>
      <c r="E25" s="4" t="s">
        <v>44</v>
      </c>
    </row>
    <row r="26" spans="1:5" ht="182.75" customHeight="1">
      <c r="A26" s="4" t="s">
        <v>45</v>
      </c>
      <c r="B26" s="5">
        <v>12</v>
      </c>
      <c r="C26" s="4" t="s">
        <v>46</v>
      </c>
      <c r="D26" s="7">
        <v>7.8800000000000008</v>
      </c>
      <c r="E26" s="4" t="s">
        <v>47</v>
      </c>
    </row>
    <row r="27" spans="1:5" ht="200" customHeight="1">
      <c r="A27" s="4" t="s">
        <v>48</v>
      </c>
      <c r="B27" s="5">
        <v>4</v>
      </c>
      <c r="C27" s="4" t="s">
        <v>49</v>
      </c>
      <c r="D27" s="7">
        <v>2.4800000000000004</v>
      </c>
      <c r="E27" s="4" t="s">
        <v>50</v>
      </c>
    </row>
    <row r="28" spans="1:5" ht="37.25" customHeight="1">
      <c r="A28" s="6" t="s">
        <v>20</v>
      </c>
      <c r="B28" s="14">
        <v>25</v>
      </c>
      <c r="C28" s="6"/>
      <c r="D28" s="10">
        <f>SUM(D24:D27)</f>
        <v>16.200000000000003</v>
      </c>
      <c r="E28" s="6"/>
    </row>
    <row r="29" spans="1:5" ht="44" customHeight="1">
      <c r="A29" s="3" t="s">
        <v>51</v>
      </c>
      <c r="B29" s="9">
        <f>SUM(B12,B21,B28)</f>
        <v>100</v>
      </c>
      <c r="C29" s="3"/>
      <c r="D29" s="11">
        <f>SUM(D12,D21,D28)</f>
        <v>67.920000000000016</v>
      </c>
      <c r="E29" s="3"/>
    </row>
    <row r="30" spans="1:5" ht="22">
      <c r="A30" s="4"/>
      <c r="B30" s="5"/>
      <c r="C30" s="4"/>
      <c r="D30" s="5"/>
      <c r="E30" s="4"/>
    </row>
    <row r="31" spans="1:5" ht="37.25" customHeight="1">
      <c r="A31" s="15" t="s">
        <v>52</v>
      </c>
      <c r="B31" s="15"/>
      <c r="C31" s="15"/>
      <c r="D31" s="15"/>
      <c r="E31" s="15"/>
    </row>
    <row r="32" spans="1:5" ht="113.25" customHeight="1">
      <c r="A32" s="16" t="s">
        <v>60</v>
      </c>
      <c r="B32" s="16"/>
      <c r="C32" s="16"/>
      <c r="D32" s="16"/>
      <c r="E32" s="16"/>
    </row>
    <row r="33" spans="1:5" ht="48" customHeight="1">
      <c r="A33" s="16"/>
      <c r="B33" s="16"/>
      <c r="C33" s="16"/>
      <c r="D33" s="16"/>
      <c r="E33" s="16"/>
    </row>
    <row r="34" spans="1:5" ht="113" hidden="1" customHeight="1">
      <c r="A34" s="16"/>
      <c r="B34" s="16"/>
      <c r="C34" s="16"/>
      <c r="D34" s="16"/>
      <c r="E34" s="16"/>
    </row>
    <row r="35" spans="1:5" ht="23" customHeight="1">
      <c r="A35" s="4"/>
      <c r="B35" s="12"/>
      <c r="C35" s="1"/>
      <c r="D35" s="12"/>
      <c r="E35" s="1"/>
    </row>
    <row r="36" spans="1:5" ht="51" customHeight="1">
      <c r="A36" s="17" t="s">
        <v>55</v>
      </c>
      <c r="B36" s="17"/>
      <c r="C36" s="17"/>
      <c r="D36" s="17"/>
      <c r="E36" s="17"/>
    </row>
  </sheetData>
  <mergeCells count="8">
    <mergeCell ref="A31:E31"/>
    <mergeCell ref="A32:E34"/>
    <mergeCell ref="A36:E36"/>
    <mergeCell ref="A1:E1"/>
    <mergeCell ref="A2:E2"/>
    <mergeCell ref="A5:E5"/>
    <mergeCell ref="A14:E14"/>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Hodnotenie Tancer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Kahanec</cp:lastModifiedBy>
  <dcterms:modified xsi:type="dcterms:W3CDTF">2026-09-29T09:44:10Z</dcterms:modified>
</cp:coreProperties>
</file>